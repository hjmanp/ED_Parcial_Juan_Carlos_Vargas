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uanc.vargash/Library/CloudStorage/GoogleDrive-jcarlo.vh@gmail.com/Mi unidad/DOCS/D/03 S/Estructura de datos 1/Parcial 1/ED_Parcial_Juan_Carlos_Vargas/"/>
    </mc:Choice>
  </mc:AlternateContent>
  <xr:revisionPtr revIDLastSave="0" documentId="13_ncr:1_{33A09C54-F4FE-9444-B2A0-3F51E1609B86}" xr6:coauthVersionLast="47" xr6:coauthVersionMax="47" xr10:uidLastSave="{00000000-0000-0000-0000-000000000000}"/>
  <bookViews>
    <workbookView xWindow="0" yWindow="600" windowWidth="28800" windowHeight="16240" tabRatio="500" activeTab="6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<sst xmlns="http://schemas.openxmlformats.org/spreadsheetml/2006/main" count="209" uniqueCount="74">
  <si>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</si>
  <si>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</si>
  <si>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</si>
  <si>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</si>
  <si>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</si>
  <si>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</si>
  <si>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</si>
  <si>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</si>
  <si>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</si>
  <si>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</si>
  <si>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</si>
  <si>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</si>
  <si>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</si>
  <si>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</si>
  <si>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</si>
  <si>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</si>
  <si>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</si>
  <si>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</si>
  <si>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</si>
  <si>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</si>
  <si>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</si>
  <si>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</si>
  <si>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</si>
  <si>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</si>
  <si>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</si>
  <si>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</si>
  <si>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</si>
  <si>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</si>
  <si>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</si>
  <si>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</si>
  <si>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</si>
  <si>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</si>
  <si>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</si>
  <si>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</si>
  <si>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</si>
  <si>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</si>
  <si>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</si>
  <si>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</si>
  <si>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</si>
  <si>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</si>
  <si>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</si>
  <si>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</si>
  <si>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</si>
  <si>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</si>
  <si>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</si>
  <si>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</si>
  <si>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</si>
  <si>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</si>
  <si>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</si>
  <si>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</si>
  <si>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</si>
  <si>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</si>
  <si>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</si>
  <si>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</si>
  <si>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</si>
  <si>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</si>
  <si>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</si>
  <si>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</si>
  <si>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</si>
  <si>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</si>
  <si>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</si>
  <si>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</si>
  <si>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</si>
  <si>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</si>
  <si>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</si>
  <si>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Sí. Crecimiento lineal proporcional a la cantidad de datos.</t>
  </si>
  <si>
    <t>Sí. La gráfica muestra la característica curva parabólica.</t>
  </si>
  <si>
    <t>SI</t>
  </si>
  <si>
    <t>La línea en la gráfica se mantiene plana/lineal.</t>
  </si>
  <si>
    <t>Sí. Crece de forma proporcional al tamaño de n.</t>
  </si>
  <si>
    <t>El tiempo se mantiene constante y bajo (~0.0003 ms).</t>
  </si>
  <si>
    <t>Curva exponencial clara (saltó de 0.0007 ms a 3.00 ms).</t>
  </si>
  <si>
    <t>Comportamiento similar a la versión iterativa.</t>
  </si>
  <si>
    <t>Sí. Al duplicar n de 5000 a 10000, el tiempo se cuadruplicó (de ~10 ms a ~46 ms).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</si>
</sst>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sz val="9"/>
      <color rgb="FF333333"/>
      <name val="Arial"/>
      <charset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9"/>
      <color rgb="FF007700"/>
      <name val="Arial"/>
      <family val="2"/>
    </font>
    <font>
      <sz val="9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0" fillId="13" borderId="4" xfId="0" applyFill="1" applyBorder="1"/>
    <xf numFmtId="0" fontId="0" fillId="0" borderId="4" xfId="0" applyBorder="1"/>
    <xf numFmtId="0" fontId="0" fillId="13" borderId="5" xfId="0" applyFill="1" applyBorder="1"/>
    <xf numFmtId="0" fontId="0" fillId="0" borderId="5" xfId="0" applyBorder="1"/>
    <xf numFmtId="0" fontId="23" fillId="0" borderId="0" xfId="0" applyFont="1"/>
    <xf numFmtId="0" fontId="22" fillId="0" borderId="0" xfId="0" applyFont="1"/>
    <xf numFmtId="0" fontId="24" fillId="7" borderId="3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3.6934000000000003E-3</c:v>
                </c:pt>
                <c:pt idx="1">
                  <c:v>4.2599999999999999E-5</c:v>
                </c:pt>
                <c:pt idx="2">
                  <c:v>4.6600000000000001E-5</c:v>
                </c:pt>
                <c:pt idx="3">
                  <c:v>2.7759999999999997E-4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8.9999999999999992E-5</c:v>
                </c:pt>
                <c:pt idx="1">
                  <c:v>9.7600000000000001E-5</c:v>
                </c:pt>
                <c:pt idx="2">
                  <c:v>1.4760000000000001E-4</c:v>
                </c:pt>
                <c:pt idx="3">
                  <c:v>1.908E-4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4.9026E-3</c:v>
                </c:pt>
                <c:pt idx="1">
                  <c:v>4.7600000000000005E-5</c:v>
                </c:pt>
                <c:pt idx="2">
                  <c:v>5.7600000000000004E-5</c:v>
                </c:pt>
                <c:pt idx="3">
                  <c:v>5.5800000000000001E-5</c:v>
                </c:pt>
                <c:pt idx="4">
                  <c:v>6.9200000000000002E-5</c:v>
                </c:pt>
                <c:pt idx="5">
                  <c:v>7.08E-5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1.484E-4</c:v>
                </c:pt>
                <c:pt idx="1">
                  <c:v>1.2975999999999999E-3</c:v>
                </c:pt>
                <c:pt idx="2">
                  <c:v>1.635E-3</c:v>
                </c:pt>
                <c:pt idx="3">
                  <c:v>6.8799999999999998E-3</c:v>
                </c:pt>
                <c:pt idx="4">
                  <c:v>5.2710800000000002E-2</c:v>
                </c:pt>
                <c:pt idx="5">
                  <c:v>0.60116999999999998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4.3208000000000005E-3</c:v>
                </c:pt>
                <c:pt idx="1">
                  <c:v>8.9339999999999992E-4</c:v>
                </c:pt>
                <c:pt idx="2">
                  <c:v>1.7734000000000001E-3</c:v>
                </c:pt>
                <c:pt idx="3">
                  <c:v>8.5392000000000003E-3</c:v>
                </c:pt>
                <c:pt idx="4">
                  <c:v>6.0850000000000001E-3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7.5659999999999996E-4</c:v>
                </c:pt>
                <c:pt idx="1">
                  <c:v>1.1050000000000001E-3</c:v>
                </c:pt>
                <c:pt idx="2">
                  <c:v>7.6659999999999999E-4</c:v>
                </c:pt>
                <c:pt idx="3">
                  <c:v>3.9649999999999998E-3</c:v>
                </c:pt>
                <c:pt idx="4">
                  <c:v>1.02916E-2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3.4027600000000005E-2</c:v>
                </c:pt>
                <c:pt idx="1">
                  <c:v>8.3965800000000007E-2</c:v>
                </c:pt>
                <c:pt idx="2">
                  <c:v>0.12245259999999999</c:v>
                </c:pt>
                <c:pt idx="3">
                  <c:v>2.1902484000000002</c:v>
                </c:pt>
                <c:pt idx="4">
                  <c:v>9.2487192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1.0383399999999999E-2</c:v>
                </c:pt>
                <c:pt idx="1">
                  <c:v>3.2800800000000005E-2</c:v>
                </c:pt>
                <c:pt idx="2">
                  <c:v>0.13167999999999999</c:v>
                </c:pt>
                <c:pt idx="3">
                  <c:v>2.4948115999999998</c:v>
                </c:pt>
                <c:pt idx="4">
                  <c:v>12.671678400000001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"/>
    <row r="2" spans="2:4" ht="36" customHeight="1" x14ac:dyDescent="0.2">
      <c r="B2" s="34" t="s">
        <v>0</v>
      </c>
      <c r="C2" s="34"/>
      <c r="D2" s="34"/>
    </row>
    <row r="3" spans="2:4" ht="21.75" customHeight="1" x14ac:dyDescent="0.2">
      <c r="B3" s="35" t="s">
        <v>1</v>
      </c>
      <c r="C3" s="35"/>
      <c r="D3" s="35"/>
    </row>
    <row r="4" spans="2:4" ht="9.75" customHeight="1" x14ac:dyDescent="0.2"/>
    <row r="5" spans="2:4" ht="27.75" customHeight="1" x14ac:dyDescent="0.2">
      <c r="B5" s="29" t="s">
        <v>2</v>
      </c>
      <c r="C5" s="33" t="s">
        <v>3</v>
      </c>
      <c r="D5" s="33"/>
    </row>
    <row r="6" spans="2:4" ht="60" customHeight="1" x14ac:dyDescent="0.2">
      <c r="B6" s="29"/>
      <c r="C6" s="31"/>
      <c r="D6" s="31"/>
    </row>
    <row r="7" spans="2:4" ht="6" customHeight="1" x14ac:dyDescent="0.2"/>
    <row r="8" spans="2:4" ht="27.75" customHeight="1" x14ac:dyDescent="0.2">
      <c r="B8" s="29" t="s">
        <v>4</v>
      </c>
      <c r="C8" s="30" t="s">
        <v>5</v>
      </c>
      <c r="D8" s="30"/>
    </row>
    <row r="9" spans="2:4" ht="117.75" customHeight="1" x14ac:dyDescent="0.2">
      <c r="B9" s="29"/>
      <c r="C9" s="31"/>
      <c r="D9" s="31"/>
    </row>
    <row r="10" spans="2:4" ht="6" customHeight="1" x14ac:dyDescent="0.2"/>
    <row r="11" spans="2:4" ht="27.75" customHeight="1" x14ac:dyDescent="0.2">
      <c r="B11" s="29" t="s">
        <v>6</v>
      </c>
      <c r="C11" s="30" t="s">
        <v>7</v>
      </c>
      <c r="D11" s="30"/>
    </row>
    <row r="12" spans="2:4" ht="81.75" customHeight="1" x14ac:dyDescent="0.2">
      <c r="B12" s="29"/>
      <c r="C12" s="31"/>
      <c r="D12" s="31"/>
    </row>
    <row r="13" spans="2:4" ht="6" customHeight="1" x14ac:dyDescent="0.2"/>
    <row r="14" spans="2:4" ht="27.75" customHeight="1" x14ac:dyDescent="0.2">
      <c r="B14" s="29" t="s">
        <v>8</v>
      </c>
      <c r="C14" s="32" t="s">
        <v>9</v>
      </c>
      <c r="D14" s="32"/>
    </row>
    <row r="15" spans="2:4" ht="99.75" customHeight="1" x14ac:dyDescent="0.2">
      <c r="B15" s="29"/>
      <c r="C15" s="31"/>
      <c r="D15" s="31"/>
    </row>
    <row r="16" spans="2:4" ht="6" customHeight="1" x14ac:dyDescent="0.2"/>
    <row r="17" spans="2:4" ht="27.75" customHeight="1" x14ac:dyDescent="0.2">
      <c r="B17" s="29" t="s">
        <v>10</v>
      </c>
      <c r="C17" s="33" t="s">
        <v>11</v>
      </c>
      <c r="D17" s="33"/>
    </row>
    <row r="18" spans="2:4" ht="99.75" customHeight="1" x14ac:dyDescent="0.2">
      <c r="B18" s="29"/>
      <c r="C18" s="31"/>
      <c r="D18" s="31"/>
    </row>
    <row r="19" spans="2:4" ht="6" customHeight="1" x14ac:dyDescent="0.2"/>
    <row r="20" spans="2:4" ht="27.75" customHeight="1" x14ac:dyDescent="0.2">
      <c r="B20" s="29" t="s">
        <v>12</v>
      </c>
      <c r="C20" s="30" t="s">
        <v>13</v>
      </c>
      <c r="D20" s="30"/>
    </row>
    <row r="21" spans="2:4" ht="81.75" customHeight="1" x14ac:dyDescent="0.2">
      <c r="B21" s="29"/>
      <c r="C21" s="31"/>
      <c r="D21" s="31"/>
    </row>
    <row r="22" spans="2:4" ht="6" customHeight="1" x14ac:dyDescent="0.2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Normal="100" workbookViewId="0">
      <pane ySplit="2" topLeftCell="A28" activePane="bottomLeft" state="frozen"/>
      <selection pane="bottomLeft" activeCell="E40" sqref="E40"/>
    </sheetView>
  </sheetViews>
  <sheetFormatPr baseColWidth="10" defaultColWidth="8.6640625" defaultRowHeight="15" customHeight="1" x14ac:dyDescent="0.2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">
      <c r="B1" s="36" t="s">
        <v>14</v>
      </c>
      <c r="C1" s="36"/>
      <c r="D1" s="36"/>
      <c r="E1" s="36"/>
      <c r="F1" s="36"/>
      <c r="G1" s="36"/>
      <c r="H1" s="36"/>
      <c r="I1" s="36"/>
    </row>
    <row r="2" spans="2:10" ht="36" customHeight="1" x14ac:dyDescent="0.2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">
      <c r="B3" s="3" t="s">
        <v>24</v>
      </c>
      <c r="C3" s="4" t="s">
        <v>25</v>
      </c>
      <c r="D3" s="5">
        <v>5</v>
      </c>
      <c r="E3" s="43">
        <v>1.8467000000000001E-2</v>
      </c>
      <c r="F3" s="6">
        <v>0</v>
      </c>
      <c r="G3" s="6">
        <v>0</v>
      </c>
      <c r="H3" s="6">
        <v>0</v>
      </c>
      <c r="I3" s="6">
        <v>0</v>
      </c>
      <c r="J3" s="7">
        <f t="shared" ref="J3:J14" si="0">AVERAGE(E3:I3)</f>
        <v>3.6934000000000003E-3</v>
      </c>
    </row>
    <row r="4" spans="2:10" ht="18" customHeight="1" x14ac:dyDescent="0.2">
      <c r="B4" s="3" t="s">
        <v>24</v>
      </c>
      <c r="C4" s="4" t="s">
        <v>25</v>
      </c>
      <c r="D4" s="5">
        <v>10</v>
      </c>
      <c r="E4" s="44">
        <v>2.13E-4</v>
      </c>
      <c r="F4" s="6">
        <v>0</v>
      </c>
      <c r="G4" s="6">
        <v>0</v>
      </c>
      <c r="H4" s="6">
        <v>0</v>
      </c>
      <c r="I4" s="6">
        <v>0</v>
      </c>
      <c r="J4" s="7">
        <f t="shared" si="0"/>
        <v>4.2599999999999999E-5</v>
      </c>
    </row>
    <row r="5" spans="2:10" ht="18" customHeight="1" x14ac:dyDescent="0.2">
      <c r="B5" s="3" t="s">
        <v>24</v>
      </c>
      <c r="C5" s="4" t="s">
        <v>25</v>
      </c>
      <c r="D5" s="5">
        <v>15</v>
      </c>
      <c r="E5" s="43">
        <v>2.33E-4</v>
      </c>
      <c r="F5" s="6">
        <v>0</v>
      </c>
      <c r="G5" s="6">
        <v>0</v>
      </c>
      <c r="H5" s="6">
        <v>0</v>
      </c>
      <c r="I5" s="6">
        <v>0</v>
      </c>
      <c r="J5" s="7">
        <f t="shared" si="0"/>
        <v>4.6600000000000001E-5</v>
      </c>
    </row>
    <row r="6" spans="2:10" ht="18" customHeight="1" x14ac:dyDescent="0.2">
      <c r="B6" s="3" t="s">
        <v>24</v>
      </c>
      <c r="C6" s="4" t="s">
        <v>25</v>
      </c>
      <c r="D6" s="5">
        <v>20</v>
      </c>
      <c r="E6" s="44">
        <v>1.3879999999999999E-3</v>
      </c>
      <c r="F6" s="6">
        <v>0</v>
      </c>
      <c r="G6" s="6">
        <v>0</v>
      </c>
      <c r="H6" s="6">
        <v>0</v>
      </c>
      <c r="I6" s="6">
        <v>0</v>
      </c>
      <c r="J6" s="7">
        <f t="shared" si="0"/>
        <v>2.7759999999999997E-4</v>
      </c>
    </row>
    <row r="7" spans="2:10" ht="18" customHeight="1" x14ac:dyDescent="0.2">
      <c r="B7" s="3" t="s">
        <v>24</v>
      </c>
      <c r="C7" s="4" t="s">
        <v>25</v>
      </c>
      <c r="D7" s="5">
        <v>25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7">
        <f t="shared" si="0"/>
        <v>0</v>
      </c>
    </row>
    <row r="8" spans="2:10" ht="18" customHeight="1" x14ac:dyDescent="0.2">
      <c r="B8" s="3" t="s">
        <v>24</v>
      </c>
      <c r="C8" s="4" t="s">
        <v>25</v>
      </c>
      <c r="D8" s="5">
        <v>30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7">
        <f t="shared" si="0"/>
        <v>0</v>
      </c>
    </row>
    <row r="9" spans="2:10" ht="18" customHeight="1" x14ac:dyDescent="0.2">
      <c r="B9" s="8" t="s">
        <v>24</v>
      </c>
      <c r="C9" s="9" t="s">
        <v>26</v>
      </c>
      <c r="D9" s="10">
        <v>5</v>
      </c>
      <c r="E9" s="43">
        <v>4.4999999999999999E-4</v>
      </c>
      <c r="F9" s="6">
        <v>0</v>
      </c>
      <c r="G9" s="6">
        <v>0</v>
      </c>
      <c r="H9" s="6">
        <v>0</v>
      </c>
      <c r="I9" s="6">
        <v>0</v>
      </c>
      <c r="J9" s="7">
        <f t="shared" si="0"/>
        <v>8.9999999999999992E-5</v>
      </c>
    </row>
    <row r="10" spans="2:10" ht="18" customHeight="1" x14ac:dyDescent="0.2">
      <c r="B10" s="8" t="s">
        <v>24</v>
      </c>
      <c r="C10" s="9" t="s">
        <v>26</v>
      </c>
      <c r="D10" s="10">
        <v>10</v>
      </c>
      <c r="E10" s="44">
        <v>4.8799999999999999E-4</v>
      </c>
      <c r="F10" s="6">
        <v>0</v>
      </c>
      <c r="G10" s="6">
        <v>0</v>
      </c>
      <c r="H10" s="6">
        <v>0</v>
      </c>
      <c r="I10" s="6">
        <v>0</v>
      </c>
      <c r="J10" s="7">
        <f t="shared" si="0"/>
        <v>9.7600000000000001E-5</v>
      </c>
    </row>
    <row r="11" spans="2:10" ht="18" customHeight="1" x14ac:dyDescent="0.2">
      <c r="B11" s="8" t="s">
        <v>24</v>
      </c>
      <c r="C11" s="9" t="s">
        <v>26</v>
      </c>
      <c r="D11" s="10">
        <v>15</v>
      </c>
      <c r="E11" s="43">
        <v>7.3800000000000005E-4</v>
      </c>
      <c r="F11" s="6">
        <v>0</v>
      </c>
      <c r="G11" s="6">
        <v>0</v>
      </c>
      <c r="H11" s="6">
        <v>0</v>
      </c>
      <c r="I11" s="6">
        <v>0</v>
      </c>
      <c r="J11" s="7">
        <f t="shared" si="0"/>
        <v>1.4760000000000001E-4</v>
      </c>
    </row>
    <row r="12" spans="2:10" ht="18" customHeight="1" x14ac:dyDescent="0.2">
      <c r="B12" s="8" t="s">
        <v>24</v>
      </c>
      <c r="C12" s="9" t="s">
        <v>26</v>
      </c>
      <c r="D12" s="10">
        <v>20</v>
      </c>
      <c r="E12" s="44">
        <v>9.5399999999999999E-4</v>
      </c>
      <c r="F12" s="6">
        <v>0</v>
      </c>
      <c r="G12" s="6">
        <v>0</v>
      </c>
      <c r="H12" s="6">
        <v>0</v>
      </c>
      <c r="I12" s="6">
        <v>0</v>
      </c>
      <c r="J12" s="7">
        <f t="shared" si="0"/>
        <v>1.908E-4</v>
      </c>
    </row>
    <row r="13" spans="2:10" ht="18" customHeight="1" x14ac:dyDescent="0.2">
      <c r="B13" s="8" t="s">
        <v>24</v>
      </c>
      <c r="C13" s="9" t="s">
        <v>26</v>
      </c>
      <c r="D13" s="10">
        <v>25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f t="shared" si="0"/>
        <v>0</v>
      </c>
    </row>
    <row r="14" spans="2:10" ht="18" customHeight="1" x14ac:dyDescent="0.2">
      <c r="B14" s="8" t="s">
        <v>24</v>
      </c>
      <c r="C14" s="9" t="s">
        <v>26</v>
      </c>
      <c r="D14" s="10">
        <v>30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f t="shared" si="0"/>
        <v>0</v>
      </c>
    </row>
    <row r="16" spans="2:10" ht="18" customHeight="1" x14ac:dyDescent="0.2">
      <c r="B16" s="3" t="s">
        <v>27</v>
      </c>
      <c r="C16" s="4" t="s">
        <v>25</v>
      </c>
      <c r="D16" s="5">
        <v>5</v>
      </c>
      <c r="E16" s="45">
        <v>2.4513E-2</v>
      </c>
      <c r="F16" s="6">
        <v>0</v>
      </c>
      <c r="G16" s="6">
        <v>0</v>
      </c>
      <c r="H16" s="6">
        <v>0</v>
      </c>
      <c r="I16" s="6">
        <v>0</v>
      </c>
      <c r="J16" s="7">
        <f t="shared" ref="J16:J27" si="1">AVERAGE(E16:I16)</f>
        <v>4.9026E-3</v>
      </c>
    </row>
    <row r="17" spans="2:10" ht="18" customHeight="1" x14ac:dyDescent="0.2">
      <c r="B17" s="3" t="s">
        <v>27</v>
      </c>
      <c r="C17" s="4" t="s">
        <v>25</v>
      </c>
      <c r="D17" s="5">
        <v>10</v>
      </c>
      <c r="E17" s="46">
        <v>2.3800000000000001E-4</v>
      </c>
      <c r="F17" s="6">
        <v>0</v>
      </c>
      <c r="G17" s="6">
        <v>0</v>
      </c>
      <c r="H17" s="6">
        <v>0</v>
      </c>
      <c r="I17" s="6">
        <v>0</v>
      </c>
      <c r="J17" s="7">
        <f t="shared" si="1"/>
        <v>4.7600000000000005E-5</v>
      </c>
    </row>
    <row r="18" spans="2:10" ht="18" customHeight="1" x14ac:dyDescent="0.2">
      <c r="B18" s="3" t="s">
        <v>27</v>
      </c>
      <c r="C18" s="4" t="s">
        <v>25</v>
      </c>
      <c r="D18" s="5">
        <v>15</v>
      </c>
      <c r="E18" s="45">
        <v>2.8800000000000001E-4</v>
      </c>
      <c r="F18" s="6">
        <v>0</v>
      </c>
      <c r="G18" s="6">
        <v>0</v>
      </c>
      <c r="H18" s="6">
        <v>0</v>
      </c>
      <c r="I18" s="6">
        <v>0</v>
      </c>
      <c r="J18" s="7">
        <f t="shared" si="1"/>
        <v>5.7600000000000004E-5</v>
      </c>
    </row>
    <row r="19" spans="2:10" ht="18" customHeight="1" x14ac:dyDescent="0.2">
      <c r="B19" s="3" t="s">
        <v>27</v>
      </c>
      <c r="C19" s="4" t="s">
        <v>25</v>
      </c>
      <c r="D19" s="5">
        <v>20</v>
      </c>
      <c r="E19" s="46">
        <v>2.7900000000000001E-4</v>
      </c>
      <c r="F19" s="6">
        <v>0</v>
      </c>
      <c r="G19" s="6">
        <v>0</v>
      </c>
      <c r="H19" s="6">
        <v>0</v>
      </c>
      <c r="I19" s="6">
        <v>0</v>
      </c>
      <c r="J19" s="7">
        <f t="shared" si="1"/>
        <v>5.5800000000000001E-5</v>
      </c>
    </row>
    <row r="20" spans="2:10" ht="18" customHeight="1" x14ac:dyDescent="0.2">
      <c r="B20" s="3" t="s">
        <v>27</v>
      </c>
      <c r="C20" s="4" t="s">
        <v>25</v>
      </c>
      <c r="D20" s="5">
        <v>25</v>
      </c>
      <c r="E20" s="45">
        <v>3.4600000000000001E-4</v>
      </c>
      <c r="F20" s="6">
        <v>0</v>
      </c>
      <c r="G20" s="6">
        <v>0</v>
      </c>
      <c r="H20" s="6">
        <v>0</v>
      </c>
      <c r="I20" s="6">
        <v>0</v>
      </c>
      <c r="J20" s="7">
        <f t="shared" si="1"/>
        <v>6.9200000000000002E-5</v>
      </c>
    </row>
    <row r="21" spans="2:10" ht="18" customHeight="1" x14ac:dyDescent="0.2">
      <c r="B21" s="3" t="s">
        <v>27</v>
      </c>
      <c r="C21" s="4" t="s">
        <v>25</v>
      </c>
      <c r="D21" s="5">
        <v>30</v>
      </c>
      <c r="E21" s="46">
        <v>3.5399999999999999E-4</v>
      </c>
      <c r="F21" s="6">
        <v>0</v>
      </c>
      <c r="G21" s="6">
        <v>0</v>
      </c>
      <c r="H21" s="6">
        <v>0</v>
      </c>
      <c r="I21" s="6">
        <v>0</v>
      </c>
      <c r="J21" s="7">
        <f t="shared" si="1"/>
        <v>7.08E-5</v>
      </c>
    </row>
    <row r="22" spans="2:10" ht="18" customHeight="1" x14ac:dyDescent="0.2">
      <c r="B22" s="8" t="s">
        <v>27</v>
      </c>
      <c r="C22" s="9" t="s">
        <v>26</v>
      </c>
      <c r="D22" s="10">
        <v>5</v>
      </c>
      <c r="E22" s="45">
        <v>7.4200000000000004E-4</v>
      </c>
      <c r="F22" s="6">
        <v>0</v>
      </c>
      <c r="G22" s="6">
        <v>0</v>
      </c>
      <c r="H22" s="6">
        <v>0</v>
      </c>
      <c r="I22" s="6">
        <v>0</v>
      </c>
      <c r="J22" s="7">
        <f t="shared" si="1"/>
        <v>1.484E-4</v>
      </c>
    </row>
    <row r="23" spans="2:10" ht="18" customHeight="1" x14ac:dyDescent="0.2">
      <c r="B23" s="8" t="s">
        <v>27</v>
      </c>
      <c r="C23" s="9" t="s">
        <v>26</v>
      </c>
      <c r="D23" s="10">
        <v>10</v>
      </c>
      <c r="E23" s="46">
        <v>6.4879999999999998E-3</v>
      </c>
      <c r="F23" s="6">
        <v>0</v>
      </c>
      <c r="G23" s="6">
        <v>0</v>
      </c>
      <c r="H23" s="6">
        <v>0</v>
      </c>
      <c r="I23" s="6">
        <v>0</v>
      </c>
      <c r="J23" s="7">
        <f t="shared" si="1"/>
        <v>1.2975999999999999E-3</v>
      </c>
    </row>
    <row r="24" spans="2:10" ht="18" customHeight="1" x14ac:dyDescent="0.2">
      <c r="B24" s="8" t="s">
        <v>27</v>
      </c>
      <c r="C24" s="9" t="s">
        <v>26</v>
      </c>
      <c r="D24" s="10">
        <v>15</v>
      </c>
      <c r="E24" s="45">
        <v>8.175E-3</v>
      </c>
      <c r="F24" s="6">
        <v>0</v>
      </c>
      <c r="G24" s="6">
        <v>0</v>
      </c>
      <c r="H24" s="6">
        <v>0</v>
      </c>
      <c r="I24" s="6">
        <v>0</v>
      </c>
      <c r="J24" s="7">
        <f t="shared" si="1"/>
        <v>1.635E-3</v>
      </c>
    </row>
    <row r="25" spans="2:10" ht="18" customHeight="1" x14ac:dyDescent="0.2">
      <c r="B25" s="8" t="s">
        <v>27</v>
      </c>
      <c r="C25" s="9" t="s">
        <v>26</v>
      </c>
      <c r="D25" s="10">
        <v>20</v>
      </c>
      <c r="E25" s="46">
        <v>3.44E-2</v>
      </c>
      <c r="F25" s="6">
        <v>0</v>
      </c>
      <c r="G25" s="6">
        <v>0</v>
      </c>
      <c r="H25" s="6">
        <v>0</v>
      </c>
      <c r="I25" s="6">
        <v>0</v>
      </c>
      <c r="J25" s="7">
        <f t="shared" si="1"/>
        <v>6.8799999999999998E-3</v>
      </c>
    </row>
    <row r="26" spans="2:10" ht="18" customHeight="1" x14ac:dyDescent="0.2">
      <c r="B26" s="8" t="s">
        <v>27</v>
      </c>
      <c r="C26" s="9" t="s">
        <v>26</v>
      </c>
      <c r="D26" s="10">
        <v>25</v>
      </c>
      <c r="E26" s="45">
        <v>0.26355400000000001</v>
      </c>
      <c r="F26" s="6">
        <v>0</v>
      </c>
      <c r="G26" s="6">
        <v>0</v>
      </c>
      <c r="H26" s="6">
        <v>0</v>
      </c>
      <c r="I26" s="6">
        <v>0</v>
      </c>
      <c r="J26" s="7">
        <f t="shared" si="1"/>
        <v>5.2710800000000002E-2</v>
      </c>
    </row>
    <row r="27" spans="2:10" ht="18" customHeight="1" x14ac:dyDescent="0.2">
      <c r="B27" s="8" t="s">
        <v>27</v>
      </c>
      <c r="C27" s="9" t="s">
        <v>26</v>
      </c>
      <c r="D27" s="10">
        <v>30</v>
      </c>
      <c r="E27" s="46">
        <v>3.0058500000000001</v>
      </c>
      <c r="F27" s="6">
        <v>0</v>
      </c>
      <c r="G27" s="6">
        <v>0</v>
      </c>
      <c r="H27" s="6">
        <v>0</v>
      </c>
      <c r="I27" s="6">
        <v>0</v>
      </c>
      <c r="J27" s="7">
        <f t="shared" si="1"/>
        <v>0.60116999999999998</v>
      </c>
    </row>
    <row r="29" spans="2:10" ht="18" customHeight="1" x14ac:dyDescent="0.2">
      <c r="B29" s="3" t="s">
        <v>28</v>
      </c>
      <c r="C29" s="4" t="s">
        <v>25</v>
      </c>
      <c r="D29" s="5">
        <v>100</v>
      </c>
      <c r="E29" s="45">
        <v>2.1604000000000002E-2</v>
      </c>
      <c r="F29" s="6">
        <v>0</v>
      </c>
      <c r="G29" s="6">
        <v>0</v>
      </c>
      <c r="H29" s="6">
        <v>0</v>
      </c>
      <c r="I29" s="6">
        <v>0</v>
      </c>
      <c r="J29" s="7">
        <f t="shared" ref="J29:J38" si="2">AVERAGE(E29:I29)</f>
        <v>4.3208000000000005E-3</v>
      </c>
    </row>
    <row r="30" spans="2:10" ht="18" customHeight="1" x14ac:dyDescent="0.2">
      <c r="B30" s="3" t="s">
        <v>28</v>
      </c>
      <c r="C30" s="4" t="s">
        <v>25</v>
      </c>
      <c r="D30" s="5">
        <v>500</v>
      </c>
      <c r="E30" s="46">
        <v>4.4669999999999996E-3</v>
      </c>
      <c r="F30" s="6">
        <v>0</v>
      </c>
      <c r="G30" s="6">
        <v>0</v>
      </c>
      <c r="H30" s="6">
        <v>0</v>
      </c>
      <c r="I30" s="6">
        <v>0</v>
      </c>
      <c r="J30" s="7">
        <f t="shared" si="2"/>
        <v>8.9339999999999992E-4</v>
      </c>
    </row>
    <row r="31" spans="2:10" ht="18" customHeight="1" x14ac:dyDescent="0.2">
      <c r="B31" s="3" t="s">
        <v>28</v>
      </c>
      <c r="C31" s="4" t="s">
        <v>25</v>
      </c>
      <c r="D31" s="5">
        <v>1000</v>
      </c>
      <c r="E31" s="45">
        <v>8.8669999999999999E-3</v>
      </c>
      <c r="F31" s="6">
        <v>0</v>
      </c>
      <c r="G31" s="6">
        <v>0</v>
      </c>
      <c r="H31" s="6">
        <v>0</v>
      </c>
      <c r="I31" s="6">
        <v>0</v>
      </c>
      <c r="J31" s="7">
        <f t="shared" si="2"/>
        <v>1.7734000000000001E-3</v>
      </c>
    </row>
    <row r="32" spans="2:10" ht="18" customHeight="1" x14ac:dyDescent="0.2">
      <c r="B32" s="3" t="s">
        <v>28</v>
      </c>
      <c r="C32" s="4" t="s">
        <v>25</v>
      </c>
      <c r="D32" s="5">
        <v>5000</v>
      </c>
      <c r="E32" s="46">
        <v>4.2695999999999998E-2</v>
      </c>
      <c r="F32" s="6">
        <v>0</v>
      </c>
      <c r="G32" s="6">
        <v>0</v>
      </c>
      <c r="H32" s="6">
        <v>0</v>
      </c>
      <c r="I32" s="6">
        <v>0</v>
      </c>
      <c r="J32" s="7">
        <f t="shared" si="2"/>
        <v>8.5392000000000003E-3</v>
      </c>
    </row>
    <row r="33" spans="2:10" ht="18" customHeight="1" x14ac:dyDescent="0.2">
      <c r="B33" s="3" t="s">
        <v>28</v>
      </c>
      <c r="C33" s="4" t="s">
        <v>25</v>
      </c>
      <c r="D33" s="5">
        <v>10000</v>
      </c>
      <c r="E33" s="45">
        <v>3.0425000000000001E-2</v>
      </c>
      <c r="F33" s="6">
        <v>0</v>
      </c>
      <c r="G33" s="6">
        <v>0</v>
      </c>
      <c r="H33" s="6">
        <v>0</v>
      </c>
      <c r="I33" s="6">
        <v>0</v>
      </c>
      <c r="J33" s="7">
        <f t="shared" si="2"/>
        <v>6.0850000000000001E-3</v>
      </c>
    </row>
    <row r="34" spans="2:10" ht="18" customHeight="1" x14ac:dyDescent="0.2">
      <c r="B34" s="8" t="s">
        <v>28</v>
      </c>
      <c r="C34" s="9" t="s">
        <v>26</v>
      </c>
      <c r="D34" s="10">
        <v>100</v>
      </c>
      <c r="E34" s="46">
        <v>3.7829999999999999E-3</v>
      </c>
      <c r="F34" s="6">
        <v>0</v>
      </c>
      <c r="G34" s="6">
        <v>0</v>
      </c>
      <c r="H34" s="6">
        <v>0</v>
      </c>
      <c r="I34" s="6">
        <v>0</v>
      </c>
      <c r="J34" s="7">
        <f t="shared" si="2"/>
        <v>7.5659999999999996E-4</v>
      </c>
    </row>
    <row r="35" spans="2:10" ht="18" customHeight="1" x14ac:dyDescent="0.2">
      <c r="B35" s="8" t="s">
        <v>28</v>
      </c>
      <c r="C35" s="9" t="s">
        <v>26</v>
      </c>
      <c r="D35" s="10">
        <v>500</v>
      </c>
      <c r="E35" s="45">
        <v>5.5250000000000004E-3</v>
      </c>
      <c r="F35" s="6">
        <v>0</v>
      </c>
      <c r="G35" s="6">
        <v>0</v>
      </c>
      <c r="H35" s="6">
        <v>0</v>
      </c>
      <c r="I35" s="6">
        <v>0</v>
      </c>
      <c r="J35" s="7">
        <f t="shared" si="2"/>
        <v>1.1050000000000001E-3</v>
      </c>
    </row>
    <row r="36" spans="2:10" ht="18" customHeight="1" x14ac:dyDescent="0.2">
      <c r="B36" s="8" t="s">
        <v>28</v>
      </c>
      <c r="C36" s="9" t="s">
        <v>26</v>
      </c>
      <c r="D36" s="10">
        <v>1000</v>
      </c>
      <c r="E36" s="46">
        <v>3.833E-3</v>
      </c>
      <c r="F36" s="6">
        <v>0</v>
      </c>
      <c r="G36" s="6">
        <v>0</v>
      </c>
      <c r="H36" s="6">
        <v>0</v>
      </c>
      <c r="I36" s="6">
        <v>0</v>
      </c>
      <c r="J36" s="7">
        <f t="shared" si="2"/>
        <v>7.6659999999999999E-4</v>
      </c>
    </row>
    <row r="37" spans="2:10" ht="18" customHeight="1" x14ac:dyDescent="0.2">
      <c r="B37" s="8" t="s">
        <v>28</v>
      </c>
      <c r="C37" s="9" t="s">
        <v>26</v>
      </c>
      <c r="D37" s="10">
        <v>5000</v>
      </c>
      <c r="E37" s="45">
        <v>1.9824999999999999E-2</v>
      </c>
      <c r="F37" s="6">
        <v>0</v>
      </c>
      <c r="G37" s="6">
        <v>0</v>
      </c>
      <c r="H37" s="6">
        <v>0</v>
      </c>
      <c r="I37" s="6">
        <v>0</v>
      </c>
      <c r="J37" s="7">
        <f t="shared" si="2"/>
        <v>3.9649999999999998E-3</v>
      </c>
    </row>
    <row r="38" spans="2:10" ht="18" customHeight="1" x14ac:dyDescent="0.2">
      <c r="B38" s="8" t="s">
        <v>28</v>
      </c>
      <c r="C38" s="9" t="s">
        <v>26</v>
      </c>
      <c r="D38" s="10">
        <v>10000</v>
      </c>
      <c r="E38" s="46">
        <v>5.1457999999999997E-2</v>
      </c>
      <c r="F38" s="6">
        <v>0</v>
      </c>
      <c r="G38" s="6">
        <v>0</v>
      </c>
      <c r="H38" s="6">
        <v>0</v>
      </c>
      <c r="I38" s="6">
        <v>0</v>
      </c>
      <c r="J38" s="7">
        <f t="shared" si="2"/>
        <v>1.02916E-2</v>
      </c>
    </row>
    <row r="40" spans="2:10" ht="18" customHeight="1" x14ac:dyDescent="0.2">
      <c r="B40" s="3" t="s">
        <v>29</v>
      </c>
      <c r="C40" s="4" t="s">
        <v>25</v>
      </c>
      <c r="D40" s="5">
        <v>100</v>
      </c>
      <c r="E40" s="45">
        <v>0.17013800000000001</v>
      </c>
      <c r="F40" s="6">
        <v>0</v>
      </c>
      <c r="G40" s="6">
        <v>0</v>
      </c>
      <c r="H40" s="6">
        <v>0</v>
      </c>
      <c r="I40" s="6">
        <v>0</v>
      </c>
      <c r="J40" s="7">
        <f t="shared" ref="J40:J49" si="3">AVERAGE(E40:I40)</f>
        <v>3.4027600000000005E-2</v>
      </c>
    </row>
    <row r="41" spans="2:10" ht="18" customHeight="1" x14ac:dyDescent="0.2">
      <c r="B41" s="3" t="s">
        <v>29</v>
      </c>
      <c r="C41" s="4" t="s">
        <v>25</v>
      </c>
      <c r="D41" s="5">
        <v>500</v>
      </c>
      <c r="E41" s="46">
        <v>0.41982900000000001</v>
      </c>
      <c r="F41" s="6">
        <v>0</v>
      </c>
      <c r="G41" s="6">
        <v>0</v>
      </c>
      <c r="H41" s="6">
        <v>0</v>
      </c>
      <c r="I41" s="6">
        <v>0</v>
      </c>
      <c r="J41" s="7">
        <f t="shared" si="3"/>
        <v>8.3965800000000007E-2</v>
      </c>
    </row>
    <row r="42" spans="2:10" ht="18" customHeight="1" x14ac:dyDescent="0.2">
      <c r="B42" s="3" t="s">
        <v>29</v>
      </c>
      <c r="C42" s="4" t="s">
        <v>25</v>
      </c>
      <c r="D42" s="5">
        <v>1000</v>
      </c>
      <c r="E42" s="45">
        <v>0.612263</v>
      </c>
      <c r="F42" s="6">
        <v>0</v>
      </c>
      <c r="G42" s="6">
        <v>0</v>
      </c>
      <c r="H42" s="6">
        <v>0</v>
      </c>
      <c r="I42" s="6">
        <v>0</v>
      </c>
      <c r="J42" s="7">
        <f t="shared" si="3"/>
        <v>0.12245259999999999</v>
      </c>
    </row>
    <row r="43" spans="2:10" ht="18" customHeight="1" x14ac:dyDescent="0.2">
      <c r="B43" s="3" t="s">
        <v>29</v>
      </c>
      <c r="C43" s="4" t="s">
        <v>25</v>
      </c>
      <c r="D43" s="5">
        <v>5000</v>
      </c>
      <c r="E43" s="46">
        <v>10.951242000000001</v>
      </c>
      <c r="F43" s="6">
        <v>0</v>
      </c>
      <c r="G43" s="6">
        <v>0</v>
      </c>
      <c r="H43" s="6">
        <v>0</v>
      </c>
      <c r="I43" s="6">
        <v>0</v>
      </c>
      <c r="J43" s="7">
        <f t="shared" si="3"/>
        <v>2.1902484000000002</v>
      </c>
    </row>
    <row r="44" spans="2:10" ht="18" customHeight="1" x14ac:dyDescent="0.2">
      <c r="B44" s="3" t="s">
        <v>29</v>
      </c>
      <c r="C44" s="4" t="s">
        <v>25</v>
      </c>
      <c r="D44" s="5">
        <v>10000</v>
      </c>
      <c r="E44" s="45">
        <v>46.243595999999997</v>
      </c>
      <c r="F44" s="6">
        <v>0</v>
      </c>
      <c r="G44" s="6">
        <v>0</v>
      </c>
      <c r="H44" s="6">
        <v>0</v>
      </c>
      <c r="I44" s="6">
        <v>0</v>
      </c>
      <c r="J44" s="7">
        <f t="shared" si="3"/>
        <v>9.2487192</v>
      </c>
    </row>
    <row r="45" spans="2:10" ht="18" customHeight="1" x14ac:dyDescent="0.2">
      <c r="B45" s="8" t="s">
        <v>29</v>
      </c>
      <c r="C45" s="9" t="s">
        <v>26</v>
      </c>
      <c r="D45" s="10">
        <v>100</v>
      </c>
      <c r="E45" s="46">
        <v>5.1916999999999998E-2</v>
      </c>
      <c r="F45" s="6">
        <v>0</v>
      </c>
      <c r="G45" s="6">
        <v>0</v>
      </c>
      <c r="H45" s="6">
        <v>0</v>
      </c>
      <c r="I45" s="6">
        <v>0</v>
      </c>
      <c r="J45" s="7">
        <f t="shared" si="3"/>
        <v>1.0383399999999999E-2</v>
      </c>
    </row>
    <row r="46" spans="2:10" ht="18" customHeight="1" x14ac:dyDescent="0.2">
      <c r="B46" s="8" t="s">
        <v>29</v>
      </c>
      <c r="C46" s="9" t="s">
        <v>26</v>
      </c>
      <c r="D46" s="10">
        <v>500</v>
      </c>
      <c r="E46" s="45">
        <v>0.16400400000000001</v>
      </c>
      <c r="F46" s="6">
        <v>0</v>
      </c>
      <c r="G46" s="6">
        <v>0</v>
      </c>
      <c r="H46" s="6">
        <v>0</v>
      </c>
      <c r="I46" s="6">
        <v>0</v>
      </c>
      <c r="J46" s="7">
        <f t="shared" si="3"/>
        <v>3.2800800000000005E-2</v>
      </c>
    </row>
    <row r="47" spans="2:10" ht="18" customHeight="1" x14ac:dyDescent="0.2">
      <c r="B47" s="8" t="s">
        <v>29</v>
      </c>
      <c r="C47" s="9" t="s">
        <v>26</v>
      </c>
      <c r="D47" s="10">
        <v>1000</v>
      </c>
      <c r="E47" s="46">
        <v>0.65839999999999999</v>
      </c>
      <c r="F47" s="6">
        <v>0</v>
      </c>
      <c r="G47" s="6">
        <v>0</v>
      </c>
      <c r="H47" s="6">
        <v>0</v>
      </c>
      <c r="I47" s="6">
        <v>0</v>
      </c>
      <c r="J47" s="7">
        <f t="shared" si="3"/>
        <v>0.13167999999999999</v>
      </c>
    </row>
    <row r="48" spans="2:10" ht="18" customHeight="1" x14ac:dyDescent="0.2">
      <c r="B48" s="8" t="s">
        <v>29</v>
      </c>
      <c r="C48" s="9" t="s">
        <v>26</v>
      </c>
      <c r="D48" s="10">
        <v>5000</v>
      </c>
      <c r="E48" s="45">
        <v>12.474057999999999</v>
      </c>
      <c r="F48" s="6">
        <v>0</v>
      </c>
      <c r="G48" s="6">
        <v>0</v>
      </c>
      <c r="H48" s="6">
        <v>0</v>
      </c>
      <c r="I48" s="6">
        <v>0</v>
      </c>
      <c r="J48" s="7">
        <f t="shared" si="3"/>
        <v>2.4948115999999998</v>
      </c>
    </row>
    <row r="49" spans="2:10" ht="18" customHeight="1" x14ac:dyDescent="0.2">
      <c r="B49" s="8" t="s">
        <v>29</v>
      </c>
      <c r="C49" s="9" t="s">
        <v>26</v>
      </c>
      <c r="D49" s="10">
        <v>10000</v>
      </c>
      <c r="E49" s="46">
        <v>63.358392000000002</v>
      </c>
      <c r="F49" s="6">
        <v>0</v>
      </c>
      <c r="G49" s="6">
        <v>0</v>
      </c>
      <c r="H49" s="6">
        <v>0</v>
      </c>
      <c r="I49" s="6">
        <v>0</v>
      </c>
      <c r="J49" s="7">
        <f t="shared" si="3"/>
        <v>12.671678400000001</v>
      </c>
    </row>
    <row r="52" spans="2:10" x14ac:dyDescent="0.2">
      <c r="B52" s="37" t="s">
        <v>30</v>
      </c>
      <c r="C52" s="37"/>
      <c r="D52" s="37"/>
      <c r="E52" s="37"/>
      <c r="F52" s="37"/>
      <c r="G52" s="37"/>
      <c r="H52" s="37"/>
      <c r="I52" s="37"/>
      <c r="J52" s="37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36" t="s">
        <v>31</v>
      </c>
      <c r="C1" s="36"/>
      <c r="D1" s="36"/>
    </row>
    <row r="2" spans="2:4" ht="21.75" customHeight="1" x14ac:dyDescent="0.2">
      <c r="B2" s="3" t="s">
        <v>32</v>
      </c>
      <c r="C2" s="11" t="s">
        <v>33</v>
      </c>
      <c r="D2" s="11" t="s">
        <v>34</v>
      </c>
    </row>
    <row r="3" spans="2:4" ht="9.75" customHeight="1" x14ac:dyDescent="0.2"/>
    <row r="4" spans="2:4" ht="30" customHeight="1" x14ac:dyDescent="0.2">
      <c r="B4" s="1" t="s">
        <v>17</v>
      </c>
      <c r="C4" s="1" t="s">
        <v>35</v>
      </c>
      <c r="D4" s="2" t="s">
        <v>36</v>
      </c>
    </row>
    <row r="5" spans="2:4" ht="19.5" customHeight="1" x14ac:dyDescent="0.2">
      <c r="B5" s="12">
        <v>5</v>
      </c>
      <c r="C5" s="13">
        <f>AVERAGEIFS('1. Datos_Crudos'!$J:$J,'1. Datos_Crudos'!$B:$B,"A1 - Factorial",'1. Datos_Crudos'!$C:$C,"Iterativo",'1. Datos_Crudos'!$D:$D,B5)</f>
        <v>3.6934000000000003E-3</v>
      </c>
      <c r="D5" s="14">
        <f>AVERAGEIFS('1. Datos_Crudos'!$J:$J,'1. Datos_Crudos'!$B:$B,"A1 - Factorial",'1. Datos_Crudos'!$C:$C,"Recursivo",'1. Datos_Crudos'!$D:$D,B5)</f>
        <v>8.9999999999999992E-5</v>
      </c>
    </row>
    <row r="6" spans="2:4" ht="19.5" customHeight="1" x14ac:dyDescent="0.2">
      <c r="B6" s="15">
        <v>10</v>
      </c>
      <c r="C6" s="16">
        <f>AVERAGEIFS('1. Datos_Crudos'!$J:$J,'1. Datos_Crudos'!$B:$B,"A1 - Factorial",'1. Datos_Crudos'!$C:$C,"Iterativo",'1. Datos_Crudos'!$D:$D,B6)</f>
        <v>4.2599999999999999E-5</v>
      </c>
      <c r="D6" s="17">
        <f>AVERAGEIFS('1. Datos_Crudos'!$J:$J,'1. Datos_Crudos'!$B:$B,"A1 - Factorial",'1. Datos_Crudos'!$C:$C,"Recursivo",'1. Datos_Crudos'!$D:$D,B6)</f>
        <v>9.7600000000000001E-5</v>
      </c>
    </row>
    <row r="7" spans="2:4" ht="19.5" customHeight="1" x14ac:dyDescent="0.2">
      <c r="B7" s="12">
        <v>15</v>
      </c>
      <c r="C7" s="13">
        <f>AVERAGEIFS('1. Datos_Crudos'!$J:$J,'1. Datos_Crudos'!$B:$B,"A1 - Factorial",'1. Datos_Crudos'!$C:$C,"Iterativo",'1. Datos_Crudos'!$D:$D,B7)</f>
        <v>4.6600000000000001E-5</v>
      </c>
      <c r="D7" s="14">
        <f>AVERAGEIFS('1. Datos_Crudos'!$J:$J,'1. Datos_Crudos'!$B:$B,"A1 - Factorial",'1. Datos_Crudos'!$C:$C,"Recursivo",'1. Datos_Crudos'!$D:$D,B7)</f>
        <v>1.4760000000000001E-4</v>
      </c>
    </row>
    <row r="8" spans="2:4" ht="19.5" customHeight="1" x14ac:dyDescent="0.2">
      <c r="B8" s="15">
        <v>20</v>
      </c>
      <c r="C8" s="16">
        <f>AVERAGEIFS('1. Datos_Crudos'!$J:$J,'1. Datos_Crudos'!$B:$B,"A1 - Factorial",'1. Datos_Crudos'!$C:$C,"Iterativo",'1. Datos_Crudos'!$D:$D,B8)</f>
        <v>2.7759999999999997E-4</v>
      </c>
      <c r="D8" s="17">
        <f>AVERAGEIFS('1. Datos_Crudos'!$J:$J,'1. Datos_Crudos'!$B:$B,"A1 - Factorial",'1. Datos_Crudos'!$C:$C,"Recursivo",'1. Datos_Crudos'!$D:$D,B8)</f>
        <v>1.908E-4</v>
      </c>
    </row>
    <row r="9" spans="2:4" ht="19.5" customHeight="1" x14ac:dyDescent="0.2">
      <c r="B9" s="12">
        <v>25</v>
      </c>
      <c r="C9" s="13">
        <f>AVERAGEIFS('1. Datos_Crudos'!$J:$J,'1. Datos_Crudos'!$B:$B,"A1 - Factorial",'1. Datos_Crudos'!$C:$C,"Iterativo",'1. Datos_Crudos'!$D:$D,B9)</f>
        <v>0</v>
      </c>
      <c r="D9" s="14">
        <f>AVERAGEIFS('1. Datos_Crudos'!$J:$J,'1. Datos_Crudos'!$B:$B,"A1 - Factorial",'1. Datos_Crudos'!$C:$C,"Recursivo",'1. Datos_Crudos'!$D:$D,B9)</f>
        <v>0</v>
      </c>
    </row>
    <row r="10" spans="2:4" ht="19.5" customHeight="1" x14ac:dyDescent="0.2">
      <c r="B10" s="15">
        <v>30</v>
      </c>
      <c r="C10" s="16">
        <f>AVERAGEIFS('1. Datos_Crudos'!$J:$J,'1. Datos_Crudos'!$B:$B,"A1 - Factorial",'1. Datos_Crudos'!$C:$C,"Iterativo",'1. Datos_Crudos'!$D:$D,B10)</f>
        <v>0</v>
      </c>
      <c r="D10" s="17">
        <f>AVERAGEIFS('1. Datos_Crudos'!$J:$J,'1. Datos_Crudos'!$B:$B,"A1 - Factorial",'1. Datos_Crudos'!$C:$C,"Recursivo",'1. Datos_Crudos'!$D:$D,B10)</f>
        <v>0</v>
      </c>
    </row>
    <row r="12" spans="2:4" ht="39.75" customHeight="1" x14ac:dyDescent="0.2">
      <c r="B12" s="38" t="s">
        <v>37</v>
      </c>
      <c r="C12" s="38"/>
      <c r="D12" s="38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>
      <selection activeCell="D16" sqref="D16"/>
    </sheetView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36" t="s">
        <v>38</v>
      </c>
      <c r="C1" s="36"/>
      <c r="D1" s="36"/>
    </row>
    <row r="2" spans="2:4" ht="21.75" customHeight="1" x14ac:dyDescent="0.2">
      <c r="B2" s="3" t="s">
        <v>32</v>
      </c>
      <c r="C2" s="11" t="s">
        <v>33</v>
      </c>
      <c r="D2" s="18" t="s">
        <v>39</v>
      </c>
    </row>
    <row r="3" spans="2:4" ht="9.75" customHeight="1" x14ac:dyDescent="0.2"/>
    <row r="4" spans="2:4" ht="30" customHeight="1" x14ac:dyDescent="0.2">
      <c r="B4" s="1" t="s">
        <v>17</v>
      </c>
      <c r="C4" s="1" t="s">
        <v>35</v>
      </c>
      <c r="D4" s="2" t="s">
        <v>40</v>
      </c>
    </row>
    <row r="5" spans="2:4" ht="19.5" customHeight="1" x14ac:dyDescent="0.2">
      <c r="B5" s="12">
        <v>5</v>
      </c>
      <c r="C5" s="13">
        <f>AVERAGEIFS('1. Datos_Crudos'!$J:$J,'1. Datos_Crudos'!$B:$B,"A2 - Fibonacci",'1. Datos_Crudos'!$C:$C,"Iterativo",'1. Datos_Crudos'!$D:$D,B5)</f>
        <v>4.9026E-3</v>
      </c>
      <c r="D5" s="19">
        <f>AVERAGEIFS('1. Datos_Crudos'!$J:$J,'1. Datos_Crudos'!$B:$B,"A2 - Fibonacci",'1. Datos_Crudos'!$C:$C,"Recursivo",'1. Datos_Crudos'!$D:$D,B5)</f>
        <v>1.484E-4</v>
      </c>
    </row>
    <row r="6" spans="2:4" ht="19.5" customHeight="1" x14ac:dyDescent="0.2">
      <c r="B6" s="15">
        <v>10</v>
      </c>
      <c r="C6" s="16">
        <f>AVERAGEIFS('1. Datos_Crudos'!$J:$J,'1. Datos_Crudos'!$B:$B,"A2 - Fibonacci",'1. Datos_Crudos'!$C:$C,"Iterativo",'1. Datos_Crudos'!$D:$D,B6)</f>
        <v>4.7600000000000005E-5</v>
      </c>
      <c r="D6" s="20">
        <f>AVERAGEIFS('1. Datos_Crudos'!$J:$J,'1. Datos_Crudos'!$B:$B,"A2 - Fibonacci",'1. Datos_Crudos'!$C:$C,"Recursivo",'1. Datos_Crudos'!$D:$D,B6)</f>
        <v>1.2975999999999999E-3</v>
      </c>
    </row>
    <row r="7" spans="2:4" ht="19.5" customHeight="1" x14ac:dyDescent="0.2">
      <c r="B7" s="12">
        <v>15</v>
      </c>
      <c r="C7" s="13">
        <f>AVERAGEIFS('1. Datos_Crudos'!$J:$J,'1. Datos_Crudos'!$B:$B,"A2 - Fibonacci",'1. Datos_Crudos'!$C:$C,"Iterativo",'1. Datos_Crudos'!$D:$D,B7)</f>
        <v>5.7600000000000004E-5</v>
      </c>
      <c r="D7" s="19">
        <f>AVERAGEIFS('1. Datos_Crudos'!$J:$J,'1. Datos_Crudos'!$B:$B,"A2 - Fibonacci",'1. Datos_Crudos'!$C:$C,"Recursivo",'1. Datos_Crudos'!$D:$D,B7)</f>
        <v>1.635E-3</v>
      </c>
    </row>
    <row r="8" spans="2:4" ht="19.5" customHeight="1" x14ac:dyDescent="0.2">
      <c r="B8" s="15">
        <v>20</v>
      </c>
      <c r="C8" s="16">
        <f>AVERAGEIFS('1. Datos_Crudos'!$J:$J,'1. Datos_Crudos'!$B:$B,"A2 - Fibonacci",'1. Datos_Crudos'!$C:$C,"Iterativo",'1. Datos_Crudos'!$D:$D,B8)</f>
        <v>5.5800000000000001E-5</v>
      </c>
      <c r="D8" s="20">
        <f>AVERAGEIFS('1. Datos_Crudos'!$J:$J,'1. Datos_Crudos'!$B:$B,"A2 - Fibonacci",'1. Datos_Crudos'!$C:$C,"Recursivo",'1. Datos_Crudos'!$D:$D,B8)</f>
        <v>6.8799999999999998E-3</v>
      </c>
    </row>
    <row r="9" spans="2:4" ht="19.5" customHeight="1" x14ac:dyDescent="0.2">
      <c r="B9" s="12">
        <v>25</v>
      </c>
      <c r="C9" s="13">
        <f>AVERAGEIFS('1. Datos_Crudos'!$J:$J,'1. Datos_Crudos'!$B:$B,"A2 - Fibonacci",'1. Datos_Crudos'!$C:$C,"Iterativo",'1. Datos_Crudos'!$D:$D,B9)</f>
        <v>6.9200000000000002E-5</v>
      </c>
      <c r="D9" s="19">
        <f>AVERAGEIFS('1. Datos_Crudos'!$J:$J,'1. Datos_Crudos'!$B:$B,"A2 - Fibonacci",'1. Datos_Crudos'!$C:$C,"Recursivo",'1. Datos_Crudos'!$D:$D,B9)</f>
        <v>5.2710800000000002E-2</v>
      </c>
    </row>
    <row r="10" spans="2:4" ht="19.5" customHeight="1" x14ac:dyDescent="0.2">
      <c r="B10" s="15">
        <v>30</v>
      </c>
      <c r="C10" s="16">
        <f>AVERAGEIFS('1. Datos_Crudos'!$J:$J,'1. Datos_Crudos'!$B:$B,"A2 - Fibonacci",'1. Datos_Crudos'!$C:$C,"Iterativo",'1. Datos_Crudos'!$D:$D,B10)</f>
        <v>7.08E-5</v>
      </c>
      <c r="D10" s="20">
        <f>AVERAGEIFS('1. Datos_Crudos'!$J:$J,'1. Datos_Crudos'!$B:$B,"A2 - Fibonacci",'1. Datos_Crudos'!$C:$C,"Recursivo",'1. Datos_Crudos'!$D:$D,B10)</f>
        <v>0.60116999999999998</v>
      </c>
    </row>
    <row r="12" spans="2:4" ht="39.75" customHeight="1" x14ac:dyDescent="0.2">
      <c r="B12" s="38" t="s">
        <v>41</v>
      </c>
      <c r="C12" s="38"/>
      <c r="D12" s="38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36" t="s">
        <v>42</v>
      </c>
      <c r="C1" s="36"/>
      <c r="D1" s="36"/>
    </row>
    <row r="2" spans="2:4" ht="21.75" customHeight="1" x14ac:dyDescent="0.2">
      <c r="B2" s="3" t="s">
        <v>32</v>
      </c>
      <c r="C2" s="11" t="s">
        <v>33</v>
      </c>
      <c r="D2" s="11" t="s">
        <v>34</v>
      </c>
    </row>
    <row r="3" spans="2:4" ht="9.75" customHeight="1" x14ac:dyDescent="0.2"/>
    <row r="4" spans="2:4" ht="30" customHeight="1" x14ac:dyDescent="0.2">
      <c r="B4" s="1" t="s">
        <v>17</v>
      </c>
      <c r="C4" s="1" t="s">
        <v>35</v>
      </c>
      <c r="D4" s="2" t="s">
        <v>36</v>
      </c>
    </row>
    <row r="5" spans="2:4" ht="19.5" customHeight="1" x14ac:dyDescent="0.2">
      <c r="B5" s="12">
        <v>100</v>
      </c>
      <c r="C5" s="13">
        <f>AVERAGEIFS('1. Datos_Crudos'!$J:$J,'1. Datos_Crudos'!$B:$B,"A3 - Busqueda Lineal",'1. Datos_Crudos'!$C:$C,"Iterativo",'1. Datos_Crudos'!$D:$D,B5)</f>
        <v>4.3208000000000005E-3</v>
      </c>
      <c r="D5" s="14">
        <f>AVERAGEIFS('1. Datos_Crudos'!$J:$J,'1. Datos_Crudos'!$B:$B,"A3 - Busqueda Lineal",'1. Datos_Crudos'!$C:$C,"Recursivo",'1. Datos_Crudos'!$D:$D,B5)</f>
        <v>7.5659999999999996E-4</v>
      </c>
    </row>
    <row r="6" spans="2:4" ht="19.5" customHeight="1" x14ac:dyDescent="0.2">
      <c r="B6" s="15">
        <v>500</v>
      </c>
      <c r="C6" s="16">
        <f>AVERAGEIFS('1. Datos_Crudos'!$J:$J,'1. Datos_Crudos'!$B:$B,"A3 - Busqueda Lineal",'1. Datos_Crudos'!$C:$C,"Iterativo",'1. Datos_Crudos'!$D:$D,B6)</f>
        <v>8.9339999999999992E-4</v>
      </c>
      <c r="D6" s="17">
        <f>AVERAGEIFS('1. Datos_Crudos'!$J:$J,'1. Datos_Crudos'!$B:$B,"A3 - Busqueda Lineal",'1. Datos_Crudos'!$C:$C,"Recursivo",'1. Datos_Crudos'!$D:$D,B6)</f>
        <v>1.1050000000000001E-3</v>
      </c>
    </row>
    <row r="7" spans="2:4" ht="19.5" customHeight="1" x14ac:dyDescent="0.2">
      <c r="B7" s="12">
        <v>1000</v>
      </c>
      <c r="C7" s="13">
        <f>AVERAGEIFS('1. Datos_Crudos'!$J:$J,'1. Datos_Crudos'!$B:$B,"A3 - Busqueda Lineal",'1. Datos_Crudos'!$C:$C,"Iterativo",'1. Datos_Crudos'!$D:$D,B7)</f>
        <v>1.7734000000000001E-3</v>
      </c>
      <c r="D7" s="14">
        <f>AVERAGEIFS('1. Datos_Crudos'!$J:$J,'1. Datos_Crudos'!$B:$B,"A3 - Busqueda Lineal",'1. Datos_Crudos'!$C:$C,"Recursivo",'1. Datos_Crudos'!$D:$D,B7)</f>
        <v>7.6659999999999999E-4</v>
      </c>
    </row>
    <row r="8" spans="2:4" ht="19.5" customHeight="1" x14ac:dyDescent="0.2">
      <c r="B8" s="15">
        <v>5000</v>
      </c>
      <c r="C8" s="16">
        <f>AVERAGEIFS('1. Datos_Crudos'!$J:$J,'1. Datos_Crudos'!$B:$B,"A3 - Busqueda Lineal",'1. Datos_Crudos'!$C:$C,"Iterativo",'1. Datos_Crudos'!$D:$D,B8)</f>
        <v>8.5392000000000003E-3</v>
      </c>
      <c r="D8" s="17">
        <f>AVERAGEIFS('1. Datos_Crudos'!$J:$J,'1. Datos_Crudos'!$B:$B,"A3 - Busqueda Lineal",'1. Datos_Crudos'!$C:$C,"Recursivo",'1. Datos_Crudos'!$D:$D,B8)</f>
        <v>3.9649999999999998E-3</v>
      </c>
    </row>
    <row r="9" spans="2:4" ht="19.5" customHeight="1" x14ac:dyDescent="0.2">
      <c r="B9" s="12">
        <v>10000</v>
      </c>
      <c r="C9" s="13">
        <f>AVERAGEIFS('1. Datos_Crudos'!$J:$J,'1. Datos_Crudos'!$B:$B,"A3 - Busqueda Lineal",'1. Datos_Crudos'!$C:$C,"Iterativo",'1. Datos_Crudos'!$D:$D,B9)</f>
        <v>6.0850000000000001E-3</v>
      </c>
      <c r="D9" s="14">
        <f>AVERAGEIFS('1. Datos_Crudos'!$J:$J,'1. Datos_Crudos'!$B:$B,"A3 - Busqueda Lineal",'1. Datos_Crudos'!$C:$C,"Recursivo",'1. Datos_Crudos'!$D:$D,B9)</f>
        <v>1.02916E-2</v>
      </c>
    </row>
    <row r="11" spans="2:4" ht="39.75" customHeight="1" x14ac:dyDescent="0.2">
      <c r="B11" s="38" t="s">
        <v>43</v>
      </c>
      <c r="C11" s="38"/>
      <c r="D11" s="38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36" t="s">
        <v>44</v>
      </c>
      <c r="C1" s="36"/>
      <c r="D1" s="36"/>
    </row>
    <row r="2" spans="2:4" ht="21.75" customHeight="1" x14ac:dyDescent="0.2">
      <c r="B2" s="3" t="s">
        <v>32</v>
      </c>
      <c r="C2" s="11" t="s">
        <v>45</v>
      </c>
      <c r="D2" s="11" t="s">
        <v>46</v>
      </c>
    </row>
    <row r="3" spans="2:4" ht="9.75" customHeight="1" x14ac:dyDescent="0.2"/>
    <row r="4" spans="2:4" ht="30" customHeight="1" x14ac:dyDescent="0.2">
      <c r="B4" s="1" t="s">
        <v>17</v>
      </c>
      <c r="C4" s="1" t="s">
        <v>47</v>
      </c>
      <c r="D4" s="2" t="s">
        <v>48</v>
      </c>
    </row>
    <row r="5" spans="2:4" ht="19.5" customHeight="1" x14ac:dyDescent="0.2">
      <c r="B5" s="12">
        <v>100</v>
      </c>
      <c r="C5" s="13">
        <f>AVERAGEIFS('1. Datos_Crudos'!$J:$J,'1. Datos_Crudos'!$B:$B,"A4 - Burbuja",'1. Datos_Crudos'!$C:$C,"Iterativo",'1. Datos_Crudos'!$D:$D,B5)</f>
        <v>3.4027600000000005E-2</v>
      </c>
      <c r="D5" s="14">
        <f>AVERAGEIFS('1. Datos_Crudos'!$J:$J,'1. Datos_Crudos'!$B:$B,"A4 - Burbuja",'1. Datos_Crudos'!$C:$C,"Recursivo",'1. Datos_Crudos'!$D:$D,B5)</f>
        <v>1.0383399999999999E-2</v>
      </c>
    </row>
    <row r="6" spans="2:4" ht="19.5" customHeight="1" x14ac:dyDescent="0.2">
      <c r="B6" s="15">
        <v>500</v>
      </c>
      <c r="C6" s="16">
        <f>AVERAGEIFS('1. Datos_Crudos'!$J:$J,'1. Datos_Crudos'!$B:$B,"A4 - Burbuja",'1. Datos_Crudos'!$C:$C,"Iterativo",'1. Datos_Crudos'!$D:$D,B6)</f>
        <v>8.3965800000000007E-2</v>
      </c>
      <c r="D6" s="17">
        <f>AVERAGEIFS('1. Datos_Crudos'!$J:$J,'1. Datos_Crudos'!$B:$B,"A4 - Burbuja",'1. Datos_Crudos'!$C:$C,"Recursivo",'1. Datos_Crudos'!$D:$D,B6)</f>
        <v>3.2800800000000005E-2</v>
      </c>
    </row>
    <row r="7" spans="2:4" ht="19.5" customHeight="1" x14ac:dyDescent="0.2">
      <c r="B7" s="12">
        <v>1000</v>
      </c>
      <c r="C7" s="13">
        <f>AVERAGEIFS('1. Datos_Crudos'!$J:$J,'1. Datos_Crudos'!$B:$B,"A4 - Burbuja",'1. Datos_Crudos'!$C:$C,"Iterativo",'1. Datos_Crudos'!$D:$D,B7)</f>
        <v>0.12245259999999999</v>
      </c>
      <c r="D7" s="14">
        <f>AVERAGEIFS('1. Datos_Crudos'!$J:$J,'1. Datos_Crudos'!$B:$B,"A4 - Burbuja",'1. Datos_Crudos'!$C:$C,"Recursivo",'1. Datos_Crudos'!$D:$D,B7)</f>
        <v>0.13167999999999999</v>
      </c>
    </row>
    <row r="8" spans="2:4" ht="19.5" customHeight="1" x14ac:dyDescent="0.2">
      <c r="B8" s="15">
        <v>5000</v>
      </c>
      <c r="C8" s="16">
        <f>AVERAGEIFS('1. Datos_Crudos'!$J:$J,'1. Datos_Crudos'!$B:$B,"A4 - Burbuja",'1. Datos_Crudos'!$C:$C,"Iterativo",'1. Datos_Crudos'!$D:$D,B8)</f>
        <v>2.1902484000000002</v>
      </c>
      <c r="D8" s="17">
        <f>AVERAGEIFS('1. Datos_Crudos'!$J:$J,'1. Datos_Crudos'!$B:$B,"A4 - Burbuja",'1. Datos_Crudos'!$C:$C,"Recursivo",'1. Datos_Crudos'!$D:$D,B8)</f>
        <v>2.4948115999999998</v>
      </c>
    </row>
    <row r="9" spans="2:4" ht="19.5" customHeight="1" x14ac:dyDescent="0.2">
      <c r="B9" s="12">
        <v>10000</v>
      </c>
      <c r="C9" s="13">
        <f>AVERAGEIFS('1. Datos_Crudos'!$J:$J,'1. Datos_Crudos'!$B:$B,"A4 - Burbuja",'1. Datos_Crudos'!$C:$C,"Iterativo",'1. Datos_Crudos'!$D:$D,B9)</f>
        <v>9.2487192</v>
      </c>
      <c r="D9" s="14">
        <f>AVERAGEIFS('1. Datos_Crudos'!$J:$J,'1. Datos_Crudos'!$B:$B,"A4 - Burbuja",'1. Datos_Crudos'!$C:$C,"Recursivo",'1. Datos_Crudos'!$D:$D,B9)</f>
        <v>12.671678400000001</v>
      </c>
    </row>
    <row r="11" spans="2:4" ht="39.75" customHeight="1" x14ac:dyDescent="0.2">
      <c r="B11" s="38" t="s">
        <v>49</v>
      </c>
      <c r="C11" s="38"/>
      <c r="D11" s="38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19"/>
  <sheetViews>
    <sheetView showGridLines="0" tabSelected="1" zoomScaleNormal="100" workbookViewId="0">
      <selection activeCell="D22" sqref="D22"/>
    </sheetView>
  </sheetViews>
  <sheetFormatPr baseColWidth="10" defaultColWidth="8.6640625" defaultRowHeight="15" customHeight="1" x14ac:dyDescent="0.2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15" ht="33.75" customHeight="1" x14ac:dyDescent="0.2">
      <c r="B1" s="36" t="s">
        <v>50</v>
      </c>
      <c r="C1" s="36"/>
      <c r="D1" s="36"/>
      <c r="E1" s="36"/>
      <c r="F1" s="36"/>
      <c r="G1" s="36"/>
    </row>
    <row r="2" spans="2:15" ht="9.75" customHeight="1" x14ac:dyDescent="0.2"/>
    <row r="3" spans="2:15" ht="30" customHeight="1" x14ac:dyDescent="0.2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15" ht="21.75" customHeight="1" x14ac:dyDescent="0.2">
      <c r="B4" s="23" t="s">
        <v>24</v>
      </c>
      <c r="C4" s="24" t="s">
        <v>25</v>
      </c>
      <c r="D4" s="23" t="s">
        <v>33</v>
      </c>
      <c r="E4" s="23" t="s">
        <v>33</v>
      </c>
      <c r="F4" s="49" t="s">
        <v>67</v>
      </c>
      <c r="G4" s="50" t="s">
        <v>68</v>
      </c>
    </row>
    <row r="5" spans="2:15" ht="21.75" customHeight="1" x14ac:dyDescent="0.2">
      <c r="B5" s="26" t="s">
        <v>24</v>
      </c>
      <c r="C5" s="27" t="s">
        <v>26</v>
      </c>
      <c r="D5" s="26" t="s">
        <v>33</v>
      </c>
      <c r="E5" s="26" t="s">
        <v>33</v>
      </c>
      <c r="F5" s="49" t="s">
        <v>67</v>
      </c>
      <c r="G5" s="50" t="s">
        <v>69</v>
      </c>
      <c r="K5" s="47"/>
      <c r="L5" s="47"/>
      <c r="M5" s="47"/>
      <c r="N5" s="47"/>
      <c r="O5" s="47"/>
    </row>
    <row r="6" spans="2:15" ht="21.75" customHeight="1" x14ac:dyDescent="0.2">
      <c r="B6" s="23" t="s">
        <v>27</v>
      </c>
      <c r="C6" s="24" t="s">
        <v>25</v>
      </c>
      <c r="D6" s="23" t="s">
        <v>33</v>
      </c>
      <c r="E6" s="23" t="s">
        <v>33</v>
      </c>
      <c r="F6" s="49" t="s">
        <v>67</v>
      </c>
      <c r="G6" s="50" t="s">
        <v>70</v>
      </c>
      <c r="K6" s="47"/>
      <c r="L6" s="48"/>
      <c r="M6" s="48"/>
      <c r="N6" s="48"/>
      <c r="O6" s="48"/>
    </row>
    <row r="7" spans="2:15" ht="21.75" customHeight="1" x14ac:dyDescent="0.2">
      <c r="B7" s="26" t="s">
        <v>27</v>
      </c>
      <c r="C7" s="27" t="s">
        <v>26</v>
      </c>
      <c r="D7" s="26" t="s">
        <v>55</v>
      </c>
      <c r="E7" s="26" t="s">
        <v>55</v>
      </c>
      <c r="F7" s="49" t="s">
        <v>67</v>
      </c>
      <c r="G7" s="50" t="s">
        <v>71</v>
      </c>
      <c r="K7" s="48"/>
      <c r="L7" s="48"/>
      <c r="M7" s="48"/>
      <c r="N7" s="48"/>
      <c r="O7" s="48"/>
    </row>
    <row r="8" spans="2:15" ht="21.75" customHeight="1" x14ac:dyDescent="0.2">
      <c r="B8" s="23" t="s">
        <v>28</v>
      </c>
      <c r="C8" s="24" t="s">
        <v>25</v>
      </c>
      <c r="D8" s="23" t="s">
        <v>33</v>
      </c>
      <c r="E8" s="23" t="s">
        <v>33</v>
      </c>
      <c r="F8" s="49" t="s">
        <v>67</v>
      </c>
      <c r="G8" s="25" t="s">
        <v>65</v>
      </c>
      <c r="K8" s="47"/>
      <c r="L8" s="48"/>
      <c r="M8" s="48"/>
      <c r="N8" s="48"/>
      <c r="O8" s="48"/>
    </row>
    <row r="9" spans="2:15" ht="21.75" customHeight="1" x14ac:dyDescent="0.2">
      <c r="B9" s="26" t="s">
        <v>28</v>
      </c>
      <c r="C9" s="27" t="s">
        <v>26</v>
      </c>
      <c r="D9" s="26" t="s">
        <v>33</v>
      </c>
      <c r="E9" s="26" t="s">
        <v>33</v>
      </c>
      <c r="F9" s="49" t="s">
        <v>67</v>
      </c>
      <c r="G9" s="50" t="s">
        <v>72</v>
      </c>
      <c r="K9" s="48"/>
      <c r="L9" s="48"/>
      <c r="M9" s="48"/>
      <c r="N9" s="48"/>
      <c r="O9" s="48"/>
    </row>
    <row r="10" spans="2:15" ht="21.75" customHeight="1" x14ac:dyDescent="0.2">
      <c r="B10" s="23" t="s">
        <v>29</v>
      </c>
      <c r="C10" s="24" t="s">
        <v>25</v>
      </c>
      <c r="D10" s="23" t="s">
        <v>45</v>
      </c>
      <c r="E10" s="23" t="s">
        <v>45</v>
      </c>
      <c r="F10" s="49" t="s">
        <v>67</v>
      </c>
      <c r="G10" s="50" t="s">
        <v>73</v>
      </c>
      <c r="K10" s="47"/>
      <c r="L10" s="48"/>
      <c r="M10" s="48"/>
      <c r="N10" s="48"/>
      <c r="O10" s="48"/>
    </row>
    <row r="11" spans="2:15" ht="21.75" customHeight="1" x14ac:dyDescent="0.2">
      <c r="B11" s="26" t="s">
        <v>29</v>
      </c>
      <c r="C11" s="27" t="s">
        <v>26</v>
      </c>
      <c r="D11" s="26" t="s">
        <v>45</v>
      </c>
      <c r="E11" s="26" t="s">
        <v>45</v>
      </c>
      <c r="F11" s="49" t="s">
        <v>67</v>
      </c>
      <c r="G11" s="25" t="s">
        <v>66</v>
      </c>
      <c r="K11" s="48"/>
      <c r="L11" s="48"/>
      <c r="M11" s="48"/>
      <c r="N11" s="48"/>
      <c r="O11" s="48"/>
    </row>
    <row r="12" spans="2:15" ht="15" customHeight="1" x14ac:dyDescent="0.2">
      <c r="K12" s="47"/>
      <c r="L12" s="48"/>
      <c r="M12" s="48"/>
      <c r="N12" s="48"/>
      <c r="O12" s="48"/>
    </row>
    <row r="13" spans="2:15" ht="15" customHeight="1" x14ac:dyDescent="0.2">
      <c r="K13" s="48"/>
      <c r="L13" s="48"/>
      <c r="M13" s="48"/>
      <c r="N13" s="48"/>
      <c r="O13" s="48"/>
    </row>
    <row r="14" spans="2:15" ht="7.5" customHeight="1" x14ac:dyDescent="0.2"/>
    <row r="15" spans="2:15" ht="15" customHeight="1" x14ac:dyDescent="0.2">
      <c r="B15" s="40" t="s">
        <v>56</v>
      </c>
      <c r="C15" s="40"/>
      <c r="D15" s="40"/>
      <c r="E15" s="40"/>
      <c r="F15" s="40"/>
      <c r="G15" s="40"/>
    </row>
    <row r="16" spans="2:15" ht="19.5" customHeight="1" x14ac:dyDescent="0.2">
      <c r="B16" s="3" t="s">
        <v>57</v>
      </c>
      <c r="C16" s="41" t="s">
        <v>58</v>
      </c>
      <c r="D16" s="41"/>
      <c r="E16" s="41"/>
      <c r="F16" s="41"/>
      <c r="G16" s="41"/>
    </row>
    <row r="17" spans="2:7" ht="19.5" customHeight="1" x14ac:dyDescent="0.2">
      <c r="B17" s="8" t="s">
        <v>59</v>
      </c>
      <c r="C17" s="42" t="s">
        <v>60</v>
      </c>
      <c r="D17" s="42"/>
      <c r="E17" s="42"/>
      <c r="F17" s="42"/>
      <c r="G17" s="42"/>
    </row>
    <row r="18" spans="2:7" ht="19.5" customHeight="1" x14ac:dyDescent="0.2">
      <c r="B18" s="3" t="s">
        <v>61</v>
      </c>
      <c r="C18" s="41" t="s">
        <v>62</v>
      </c>
      <c r="D18" s="41"/>
      <c r="E18" s="41"/>
      <c r="F18" s="41"/>
      <c r="G18" s="41"/>
    </row>
    <row r="19" spans="2:7" ht="19.5" customHeight="1" x14ac:dyDescent="0.2">
      <c r="B19" s="28" t="s">
        <v>63</v>
      </c>
      <c r="C19" s="39" t="s">
        <v>64</v>
      </c>
      <c r="D19" s="39"/>
      <c r="E19" s="39"/>
      <c r="F19" s="39"/>
      <c r="G19" s="39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Carlos Vargas Hernandez</cp:lastModifiedBy>
  <cp:revision>1</cp:revision>
  <dcterms:created xsi:type="dcterms:W3CDTF">2026-02-20T06:55:59Z</dcterms:created>
  <dcterms:modified xsi:type="dcterms:W3CDTF">2026-03-03T03:50:46Z</dcterms:modified>
  <dc:language>en-US</dc:language>
</cp:coreProperties>
</file>